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mizeqiri\Desktop\GitHub\P_Backup_143\"/>
    </mc:Choice>
  </mc:AlternateContent>
  <bookViews>
    <workbookView xWindow="0" yWindow="0" windowWidth="28800" windowHeight="12300" activeTab="5"/>
  </bookViews>
  <sheets>
    <sheet name="Donné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Données!$C$9</definedName>
    <definedName name="ListTasks" localSheetId="5">#REF!</definedName>
    <definedName name="ListTasks">#REF!</definedName>
    <definedName name="lstTasks">Données!$C$20:$C$45</definedName>
    <definedName name="NbLessons" localSheetId="5">#REF!</definedName>
    <definedName name="NbLessons">#REF!</definedName>
    <definedName name="NbPerWeek">Données!$C$12</definedName>
    <definedName name="NbQuartPer">Données!$C$13</definedName>
    <definedName name="NbWeeks">Données!$C$11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Données!$A$1:$G$47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8" i="155" l="1"/>
  <c r="D77" i="155" s="1"/>
  <c r="D96" i="155" s="1"/>
  <c r="D115" i="155" s="1"/>
  <c r="D134" i="155" s="1"/>
  <c r="D20" i="155"/>
  <c r="D1" i="155"/>
  <c r="B15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<sst xmlns="http://schemas.openxmlformats.org/spreadsheetml/2006/main" count="122" uniqueCount="51">
  <si>
    <t>Module / Projet :</t>
  </si>
  <si>
    <t>P_Backup_143</t>
  </si>
  <si>
    <t>Prénom - nom :</t>
  </si>
  <si>
    <t>Amir Zeqiri</t>
  </si>
  <si>
    <t>Classe :</t>
  </si>
  <si>
    <t>CIN2B</t>
  </si>
  <si>
    <t>Lieu :</t>
  </si>
  <si>
    <t>ETML, Sébeillon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</si>
  <si>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</si>
  <si>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</si>
  <si>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</si>
  <si>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</si>
  <si>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</si>
  <si>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</si>
  <si>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</si>
  <si>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</si>
  <si>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</si>
  <si>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</si>
  <si>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</si>
  <si>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</si>
  <si>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</si>
  <si>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</si>
  <si>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</si>
  <si>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</si>
  <si>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</si>
  <si>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</si>
  <si>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</si>
  <si>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</si>
  <si>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Cahier des charges</t>
  </si>
  <si>
    <t>Lecture et compréhension du cahier des charges avec le professeur fini</t>
  </si>
  <si>
    <t>Fichiers OVA</t>
  </si>
  <si>
    <t>Copies des fichiers OVA du professeur fini</t>
  </si>
  <si>
    <t>Copies OVA</t>
  </si>
  <si>
    <t>Copies des fichiers OVA sur le PC de Anthony fini</t>
  </si>
  <si>
    <t>Machines virtuelles</t>
  </si>
  <si>
    <t>Importations des machines virtuelles à partir des fichiers OVA fini</t>
  </si>
  <si>
    <t>Création journal de travail</t>
  </si>
  <si>
    <t>Création du journal de travail fini</t>
  </si>
  <si>
    <t>Création rapport</t>
  </si>
  <si>
    <t>Création du rapport fini</t>
  </si>
  <si>
    <t>Liste des tâches a effectuer durant le projet fini</t>
  </si>
  <si>
    <t>Rapport</t>
  </si>
  <si>
    <t>Début du rapport</t>
  </si>
  <si>
    <t>VMs</t>
  </si>
  <si>
    <t>Max. 9</t>
  </si>
  <si>
    <t>STOP</t>
  </si>
  <si>
    <t>Modifications des paramètres des VMs (+ RAM, CPU) fini</t>
  </si>
  <si>
    <t>File Server DFS</t>
  </si>
  <si>
    <t>Shadow Copies</t>
  </si>
  <si>
    <t>a remplir</t>
  </si>
  <si>
    <t>a remplir fini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</si>
</sst>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N54"/>
  <sheetViews>
    <sheetView view="pageBreakPreview" zoomScaleNormal="100" zoomScaleSheetLayoutView="100" workbookViewId="0">
      <selection activeCell="J23" sqref="J2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 x14ac:dyDescent="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 x14ac:dyDescent="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 x14ac:dyDescent="0.3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45674</v>
      </c>
      <c r="D9" s="59"/>
      <c r="E9" s="59"/>
      <c r="F9" s="59"/>
      <c r="G9" s="60"/>
    </row>
    <row r="10" spans="1:7" ht="20.25" x14ac:dyDescent="0.25">
      <c r="A10" s="58"/>
      <c r="B10" s="68" t="s">
        <v>9</v>
      </c>
      <c r="C10" s="69">
        <v>45730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13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14" x14ac:dyDescent="0.25">
      <c r="A17" s="77"/>
      <c r="B17" s="55"/>
      <c r="C17" s="55"/>
      <c r="D17" s="55"/>
      <c r="E17" s="55"/>
      <c r="F17" s="55"/>
      <c r="G17" s="56"/>
    </row>
    <row r="18" spans="1:14" ht="14.25" thickBot="1" x14ac:dyDescent="0.3">
      <c r="A18" s="78"/>
      <c r="B18" s="59"/>
      <c r="C18" s="59"/>
      <c r="D18" s="59"/>
      <c r="E18" s="59"/>
      <c r="F18" s="59"/>
      <c r="G18" s="60"/>
    </row>
    <row r="19" spans="1:14" ht="21" thickBot="1" x14ac:dyDescent="0.3">
      <c r="A19" s="78"/>
      <c r="B19" s="92" t="s">
        <v>14</v>
      </c>
      <c r="C19" s="93"/>
      <c r="D19" s="59"/>
      <c r="E19" s="59"/>
      <c r="F19" s="59"/>
      <c r="G19" s="60"/>
    </row>
    <row r="20" spans="1:14" ht="20.25" x14ac:dyDescent="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14" ht="20.25" x14ac:dyDescent="0.25">
      <c r="A21" s="78"/>
      <c r="B21" s="79">
        <v>1</v>
      </c>
      <c r="C21" s="69"/>
      <c r="D21" s="59"/>
      <c r="E21" s="59"/>
      <c r="F21" s="59"/>
      <c r="G21" s="60"/>
    </row>
    <row r="22" spans="1:14" ht="20.25" x14ac:dyDescent="0.25">
      <c r="A22" s="78"/>
      <c r="B22" s="79">
        <v>2</v>
      </c>
      <c r="C22" s="70"/>
      <c r="D22" s="59"/>
      <c r="E22" s="59"/>
      <c r="F22" s="59"/>
      <c r="G22" s="60"/>
      <c r="N22"/>
    </row>
    <row r="23" spans="1:14" ht="20.25" x14ac:dyDescent="0.25">
      <c r="A23" s="78"/>
      <c r="B23" s="81">
        <v>3</v>
      </c>
      <c r="C23" s="70"/>
      <c r="D23" s="59"/>
      <c r="E23" s="59"/>
      <c r="F23" s="59"/>
      <c r="G23" s="60"/>
    </row>
    <row r="24" spans="1:14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14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14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14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14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14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14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14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14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17</v>
      </c>
      <c r="C2" s="15" t="s">
        <v>18</v>
      </c>
    </row>
    <row r="3" spans="1:4" ht="19.5" customHeight="1" x14ac:dyDescent="0.25">
      <c r="A3" s="19"/>
      <c r="B3" s="94" t="s">
        <v>16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19</v>
      </c>
      <c r="C3" s="27">
        <v>0</v>
      </c>
    </row>
    <row r="4" spans="2:3" ht="18.75" thickBot="1" x14ac:dyDescent="0.3">
      <c r="B4" s="26" t="s">
        <v>20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21</v>
      </c>
      <c r="B1" s="7">
        <v>1</v>
      </c>
      <c r="C1" s="17"/>
      <c r="D1" s="85"/>
    </row>
    <row r="2" spans="1:4" ht="27.75" thickBot="1" x14ac:dyDescent="0.3">
      <c r="A2" s="8" t="s">
        <v>22</v>
      </c>
      <c r="B2" s="18" t="s">
        <v>23</v>
      </c>
      <c r="C2" s="8" t="s">
        <v>24</v>
      </c>
      <c r="D2" s="8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26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27</v>
      </c>
      <c r="D1" s="53"/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H153"/>
  <sheetViews>
    <sheetView tabSelected="1" topLeftCell="A22" workbookViewId="0">
      <selection activeCell="E39" sqref="E3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27</v>
      </c>
      <c r="D1" s="53">
        <f>Données!$C$9</f>
        <v>45674</v>
      </c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88" t="s">
        <v>28</v>
      </c>
      <c r="B3" s="4">
        <v>1</v>
      </c>
      <c r="C3" s="89" t="s">
        <v>29</v>
      </c>
      <c r="D3" s="9"/>
    </row>
    <row r="4" spans="1:4" s="52" customFormat="1" x14ac:dyDescent="0.25">
      <c r="A4" s="90" t="s">
        <v>30</v>
      </c>
      <c r="B4" s="2">
        <v>1</v>
      </c>
      <c r="C4" s="91" t="s">
        <v>31</v>
      </c>
      <c r="D4" s="10"/>
    </row>
    <row r="5" spans="1:4" s="52" customFormat="1" x14ac:dyDescent="0.25">
      <c r="A5" s="90" t="s">
        <v>32</v>
      </c>
      <c r="B5" s="2">
        <v>1</v>
      </c>
      <c r="C5" s="91" t="s">
        <v>33</v>
      </c>
      <c r="D5" s="10"/>
    </row>
    <row r="6" spans="1:4" s="52" customFormat="1" x14ac:dyDescent="0.25">
      <c r="A6" s="90" t="s">
        <v>34</v>
      </c>
      <c r="B6" s="2">
        <v>1</v>
      </c>
      <c r="C6" s="91" t="s">
        <v>35</v>
      </c>
      <c r="D6" s="10"/>
    </row>
    <row r="7" spans="1:4" s="52" customFormat="1" ht="27" x14ac:dyDescent="0.25">
      <c r="A7" s="90" t="s">
        <v>36</v>
      </c>
      <c r="B7" s="2">
        <v>1</v>
      </c>
      <c r="C7" s="91" t="s">
        <v>37</v>
      </c>
      <c r="D7" s="10"/>
    </row>
    <row r="8" spans="1:4" s="52" customFormat="1" x14ac:dyDescent="0.25">
      <c r="A8" s="90" t="s">
        <v>38</v>
      </c>
      <c r="B8" s="2">
        <v>1</v>
      </c>
      <c r="C8" s="91" t="s">
        <v>39</v>
      </c>
      <c r="D8" s="10"/>
    </row>
    <row r="9" spans="1:4" s="52" customFormat="1" x14ac:dyDescent="0.25">
      <c r="A9" s="90" t="s">
        <v>14</v>
      </c>
      <c r="B9" s="2">
        <v>1</v>
      </c>
      <c r="C9" s="91" t="s">
        <v>40</v>
      </c>
      <c r="D9" s="10"/>
    </row>
    <row r="10" spans="1:4" s="52" customFormat="1" x14ac:dyDescent="0.25">
      <c r="A10" s="90" t="s">
        <v>41</v>
      </c>
      <c r="B10" s="2">
        <v>1</v>
      </c>
      <c r="C10" s="91" t="s">
        <v>42</v>
      </c>
      <c r="D10" s="10"/>
    </row>
    <row r="11" spans="1:4" s="52" customFormat="1" x14ac:dyDescent="0.25">
      <c r="A11" s="90" t="s">
        <v>43</v>
      </c>
      <c r="B11" s="2">
        <v>1</v>
      </c>
      <c r="C11" s="91" t="s">
        <v>46</v>
      </c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9</v>
      </c>
      <c r="C18" s="86" t="s">
        <v>44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21</v>
      </c>
      <c r="B20" s="43">
        <v>2</v>
      </c>
      <c r="C20" s="44" t="s">
        <v>27</v>
      </c>
      <c r="D20" s="53">
        <f>$D$1+7</f>
        <v>45681</v>
      </c>
    </row>
    <row r="21" spans="1:8" ht="27.75" thickBot="1" x14ac:dyDescent="0.3">
      <c r="A21" s="45" t="s">
        <v>22</v>
      </c>
      <c r="B21" s="46" t="s">
        <v>23</v>
      </c>
      <c r="C21" s="45" t="s">
        <v>24</v>
      </c>
      <c r="D21" s="45" t="s">
        <v>25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26</v>
      </c>
      <c r="B37" s="47">
        <f>SUM(B22:B36)</f>
        <v>0</v>
      </c>
      <c r="C37" s="86" t="s">
        <v>44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21</v>
      </c>
      <c r="B39" s="43">
        <v>3</v>
      </c>
      <c r="C39" s="44" t="s">
        <v>27</v>
      </c>
      <c r="D39" s="53">
        <v>45686</v>
      </c>
    </row>
    <row r="40" spans="1:8" ht="27.75" thickBot="1" x14ac:dyDescent="0.3">
      <c r="A40" s="45" t="s">
        <v>22</v>
      </c>
      <c r="B40" s="46" t="s">
        <v>23</v>
      </c>
      <c r="C40" s="45" t="s">
        <v>24</v>
      </c>
      <c r="D40" s="45" t="s">
        <v>25</v>
      </c>
    </row>
    <row r="41" spans="1:8" x14ac:dyDescent="0.25">
      <c r="A41" s="88" t="s">
        <v>47</v>
      </c>
      <c r="B41" s="4">
        <v>4</v>
      </c>
      <c r="C41" s="97" t="s">
        <v>50</v>
      </c>
      <c r="D41" s="9"/>
    </row>
    <row r="42" spans="1:8" x14ac:dyDescent="0.25">
      <c r="A42" s="90" t="s">
        <v>48</v>
      </c>
      <c r="B42" s="2">
        <v>3</v>
      </c>
      <c r="C42" s="96" t="s">
        <v>49</v>
      </c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26</v>
      </c>
      <c r="B56" s="47">
        <f>SUM(B41:B55)</f>
        <v>7</v>
      </c>
      <c r="C56" s="86" t="s">
        <v>44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21</v>
      </c>
      <c r="B58" s="43">
        <v>4</v>
      </c>
      <c r="C58" s="44" t="s">
        <v>27</v>
      </c>
      <c r="D58" s="53">
        <f>$D$39+7</f>
        <v>45693</v>
      </c>
    </row>
    <row r="59" spans="1:4" ht="27.75" thickBot="1" x14ac:dyDescent="0.3">
      <c r="A59" s="45" t="s">
        <v>22</v>
      </c>
      <c r="B59" s="46" t="s">
        <v>23</v>
      </c>
      <c r="C59" s="45" t="s">
        <v>24</v>
      </c>
      <c r="D59" s="45" t="s">
        <v>25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26</v>
      </c>
      <c r="B75" s="47">
        <f>SUM(B60:B74)</f>
        <v>0</v>
      </c>
      <c r="C75" s="86" t="s">
        <v>44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21</v>
      </c>
      <c r="B77" s="43">
        <v>5</v>
      </c>
      <c r="C77" s="44" t="s">
        <v>27</v>
      </c>
      <c r="D77" s="53">
        <f>$D$58+7</f>
        <v>45700</v>
      </c>
    </row>
    <row r="78" spans="1:4" ht="27.75" thickBot="1" x14ac:dyDescent="0.3">
      <c r="A78" s="45" t="s">
        <v>22</v>
      </c>
      <c r="B78" s="46" t="s">
        <v>23</v>
      </c>
      <c r="C78" s="45" t="s">
        <v>24</v>
      </c>
      <c r="D78" s="45" t="s">
        <v>25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26</v>
      </c>
      <c r="B94" s="47">
        <f>SUM(B79:B93)</f>
        <v>0</v>
      </c>
      <c r="C94" s="86" t="s">
        <v>44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21</v>
      </c>
      <c r="B96" s="43">
        <v>6</v>
      </c>
      <c r="C96" s="44" t="s">
        <v>27</v>
      </c>
      <c r="D96" s="53">
        <f>$D$77+7</f>
        <v>45707</v>
      </c>
    </row>
    <row r="97" spans="1:4" ht="27.75" thickBot="1" x14ac:dyDescent="0.3">
      <c r="A97" s="45" t="s">
        <v>22</v>
      </c>
      <c r="B97" s="46" t="s">
        <v>23</v>
      </c>
      <c r="C97" s="45" t="s">
        <v>24</v>
      </c>
      <c r="D97" s="45" t="s">
        <v>25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26</v>
      </c>
      <c r="B113" s="47">
        <f>SUM(B98:B112)</f>
        <v>0</v>
      </c>
      <c r="C113" s="86" t="s">
        <v>44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21</v>
      </c>
      <c r="B115" s="43">
        <v>7</v>
      </c>
      <c r="C115" s="44" t="s">
        <v>27</v>
      </c>
      <c r="D115" s="53">
        <f>$D$96+7</f>
        <v>45714</v>
      </c>
    </row>
    <row r="116" spans="1:4" ht="27.75" thickBot="1" x14ac:dyDescent="0.3">
      <c r="A116" s="45" t="s">
        <v>22</v>
      </c>
      <c r="B116" s="46" t="s">
        <v>23</v>
      </c>
      <c r="C116" s="45" t="s">
        <v>24</v>
      </c>
      <c r="D116" s="45" t="s">
        <v>25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26</v>
      </c>
      <c r="B132" s="47">
        <f>SUM(B117:B131)</f>
        <v>0</v>
      </c>
      <c r="C132" s="86" t="s">
        <v>44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21</v>
      </c>
      <c r="B134" s="43">
        <v>8</v>
      </c>
      <c r="C134" s="44" t="s">
        <v>27</v>
      </c>
      <c r="D134" s="53">
        <f>$D$115+7</f>
        <v>45721</v>
      </c>
    </row>
    <row r="135" spans="1:4" ht="27.75" thickBot="1" x14ac:dyDescent="0.3">
      <c r="A135" s="45" t="s">
        <v>22</v>
      </c>
      <c r="B135" s="46" t="s">
        <v>23</v>
      </c>
      <c r="C135" s="45" t="s">
        <v>24</v>
      </c>
      <c r="D135" s="45" t="s">
        <v>25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26</v>
      </c>
      <c r="B151" s="47">
        <f>SUM(B136:B150)</f>
        <v>0</v>
      </c>
      <c r="C151" s="86" t="s">
        <v>44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45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5cf4370-ac38-4b9e-9836-ef6f5df64f24">
      <Terms xmlns="http://schemas.microsoft.com/office/infopath/2007/PartnerControls"/>
    </lcf76f155ced4ddcb4097134ff3c332f>
    <TaxCatchAll xmlns="eefa3612-053e-497a-ae76-8a76877f5e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9F2488912074FB587B9AD9ADAE5BB" ma:contentTypeVersion="13" ma:contentTypeDescription="Crée un document." ma:contentTypeScope="" ma:versionID="9a86a1cd3755b5a7e53938bf3d1814c2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61a77d84c8050c9fe8f87b3554798f7f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a7a4e1d0-e96c-42f6-8182-d5848655357e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6FE39D0-D8A0-4514-B323-6ED3B38EBE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0EDFB1E-179A-4BDA-99CD-CAE4562CD448}">
  <ds:schemaRefs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5cf4370-ac38-4b9e-9836-ef6f5df64f24"/>
    <ds:schemaRef ds:uri="eefa3612-053e-497a-ae76-8a76877f5e22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57842DF-2B91-43BB-9674-A87F3DCA05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cf4370-ac38-4b9e-9836-ef6f5df64f24"/>
    <ds:schemaRef ds:uri="eefa3612-053e-497a-ae76-8a76877f5e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Données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Données!Zone_d_impression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keywords/>
  <dc:description/>
  <cp:lastModifiedBy>Amir Zeqiri</cp:lastModifiedBy>
  <cp:revision/>
  <dcterms:created xsi:type="dcterms:W3CDTF">1996-10-21T11:03:58Z</dcterms:created>
  <dcterms:modified xsi:type="dcterms:W3CDTF">2025-01-29T11:11:13Z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0x01010080C9F2488912074FB587B9AD9ADAE5BB</vt:lpwstr>
  </property>
  <property fmtid="{D5CDD505-2E9C-101B-9397-08002B2CF9AE}" pid="3" name="MediaServiceImageTags">
    <vt:lpwstr/>
  </property>
</Properties>
</file>